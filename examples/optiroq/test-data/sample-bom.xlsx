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RONA TRAINING\03. BIW PRODUCT DESIGN TRAINING\TRAINING DATA\18. PROJECT-1-DOOR\DOOR CAD\"/>
    </mc:Choice>
  </mc:AlternateContent>
  <bookViews>
    <workbookView xWindow="0" yWindow="0" windowWidth="20490" windowHeight="7620"/>
  </bookViews>
  <sheets>
    <sheet name="BOM-DOOR" sheetId="1" r:id="rId1"/>
    <sheet name="WEIGHT CHART" sheetId="5" r:id="rId2"/>
  </sheets>
  <definedNames>
    <definedName name="_xlnm._FilterDatabase" localSheetId="0" hidden="1">'BOM-DOOR'!$A$2:$H$29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5" i="1"/>
  <c r="G23" i="1"/>
  <c r="I22" i="5"/>
  <c r="I21" i="5"/>
  <c r="G20" i="1"/>
  <c r="G15" i="1"/>
  <c r="G12" i="1" l="1"/>
  <c r="G7" i="1" l="1"/>
  <c r="G13" i="1" l="1"/>
  <c r="B21" i="5" l="1"/>
  <c r="B22" i="5"/>
  <c r="B20" i="5"/>
  <c r="B18" i="5"/>
  <c r="B19" i="5"/>
  <c r="B17" i="5"/>
  <c r="B15" i="5"/>
  <c r="B16" i="5"/>
  <c r="B14" i="5"/>
  <c r="B12" i="5"/>
  <c r="B13" i="5"/>
  <c r="B9" i="5"/>
  <c r="B10" i="5"/>
  <c r="B11" i="5"/>
  <c r="B8" i="5"/>
  <c r="B7" i="5"/>
  <c r="B6" i="5"/>
  <c r="B5" i="5"/>
  <c r="I14" i="5"/>
  <c r="I13" i="5"/>
  <c r="I12" i="5"/>
  <c r="I11" i="5"/>
  <c r="G11" i="1" s="1"/>
  <c r="I10" i="5"/>
  <c r="G10" i="1" s="1"/>
  <c r="I9" i="5"/>
  <c r="G9" i="1" s="1"/>
  <c r="I8" i="5"/>
  <c r="G8" i="1" s="1"/>
  <c r="I7" i="5"/>
  <c r="I18" i="5"/>
  <c r="I17" i="5"/>
  <c r="G19" i="1" s="1"/>
  <c r="H19" i="1" s="1"/>
  <c r="I16" i="5"/>
  <c r="G17" i="1" s="1"/>
  <c r="I15" i="5"/>
  <c r="G16" i="1" s="1"/>
  <c r="H27" i="1"/>
  <c r="H28" i="1"/>
  <c r="H26" i="1"/>
  <c r="H25" i="1"/>
  <c r="H24" i="1"/>
  <c r="H23" i="1"/>
  <c r="H20" i="1"/>
  <c r="H17" i="1"/>
  <c r="H16" i="1"/>
  <c r="H15" i="1"/>
  <c r="I20" i="5" l="1"/>
  <c r="I19" i="5"/>
  <c r="G21" i="1" s="1"/>
  <c r="H21" i="1" s="1"/>
  <c r="I6" i="5"/>
  <c r="I5" i="5"/>
  <c r="G4" i="1" s="1"/>
  <c r="G6" i="1" l="1"/>
  <c r="H6" i="1" s="1"/>
  <c r="H29" i="1" s="1"/>
  <c r="H13" i="1"/>
  <c r="H7" i="1" l="1"/>
  <c r="H8" i="1"/>
  <c r="H9" i="1"/>
  <c r="H10" i="1"/>
  <c r="H11" i="1"/>
  <c r="H12" i="1"/>
  <c r="H4" i="1"/>
</calcChain>
</file>

<file path=xl/comments1.xml><?xml version="1.0" encoding="utf-8"?>
<comments xmlns="http://schemas.openxmlformats.org/spreadsheetml/2006/main">
  <authors>
    <author>Kuldeep</author>
  </authors>
  <commentList>
    <comment ref="G26" authorId="0" shapeId="0">
      <text>
        <r>
          <rPr>
            <b/>
            <sz val="9"/>
            <color indexed="81"/>
            <rFont val="Tahoma"/>
            <family val="2"/>
          </rPr>
          <t>It's Approx. weight
Hinge tentative weight is in between 2-3 kg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It's Approx. weight
Hinge tentative weight is in between 2-3 kg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It's Approx. weight
Latch tentative weight is in between 400 - 800 gram</t>
        </r>
      </text>
    </comment>
  </commentList>
</comments>
</file>

<file path=xl/sharedStrings.xml><?xml version="1.0" encoding="utf-8"?>
<sst xmlns="http://schemas.openxmlformats.org/spreadsheetml/2006/main" count="102" uniqueCount="57">
  <si>
    <t>PART NAME</t>
  </si>
  <si>
    <t>IMAGE</t>
  </si>
  <si>
    <t>MATERIAL</t>
  </si>
  <si>
    <t>THK</t>
  </si>
  <si>
    <t>QTY</t>
  </si>
  <si>
    <t>SR. NO.</t>
  </si>
  <si>
    <t>PANEL , OUTER</t>
  </si>
  <si>
    <t>TOTAL WEIGHT</t>
  </si>
  <si>
    <t>LEVEL</t>
  </si>
  <si>
    <t>ASSY., INNER</t>
  </si>
  <si>
    <t>PANEL, INNER</t>
  </si>
  <si>
    <t>-</t>
  </si>
  <si>
    <t>WEIGHT (g)</t>
  </si>
  <si>
    <t>TOTAL WEIGHT (g)</t>
  </si>
  <si>
    <t>DENSITY</t>
  </si>
  <si>
    <t>SURFACE AREA</t>
  </si>
  <si>
    <t>FACTOR</t>
  </si>
  <si>
    <t>QTY.</t>
  </si>
  <si>
    <t>MASS</t>
  </si>
  <si>
    <t>(g)</t>
  </si>
  <si>
    <t>(g/cm3)</t>
  </si>
  <si>
    <t>(cm2)</t>
  </si>
  <si>
    <t>(cm)</t>
  </si>
  <si>
    <t>BOM - DOOR</t>
  </si>
  <si>
    <t>ASSY., DOOR</t>
  </si>
  <si>
    <t>REINFORCEMENT HINGE UPR</t>
  </si>
  <si>
    <t>REINFORCEMENT HINGE LWR</t>
  </si>
  <si>
    <t>REINFORCEMENT LATCH</t>
  </si>
  <si>
    <t>STIFFNER 1</t>
  </si>
  <si>
    <t>STIFFNER 2</t>
  </si>
  <si>
    <t>REINFORCEMENT BELTLINE</t>
  </si>
  <si>
    <t>REINFORCEMENT SILL</t>
  </si>
  <si>
    <t>ASSY, SASH FR FR</t>
  </si>
  <si>
    <t>ASSY, SASH FR RR</t>
  </si>
  <si>
    <t>ASSY, SASH FR RR LWR</t>
  </si>
  <si>
    <t>SASH FR FR</t>
  </si>
  <si>
    <t>BRACKET 01</t>
  </si>
  <si>
    <t>BRACKET 02</t>
  </si>
  <si>
    <t>SASH FR RR</t>
  </si>
  <si>
    <t>BRACKET 03</t>
  </si>
  <si>
    <t>BRACKET 04</t>
  </si>
  <si>
    <t>SASH FR RR LWR</t>
  </si>
  <si>
    <t>HINGE UPR</t>
  </si>
  <si>
    <t>HINGE LWR</t>
  </si>
  <si>
    <t>LATCH</t>
  </si>
  <si>
    <t>SS</t>
  </si>
  <si>
    <t>NOTE :- ALL SASH CHANNEL ( 10,13,16 ) ARE EXTRUSION PARTS , EXCEPT ALL ARE DRAW PARTS</t>
  </si>
  <si>
    <t>BRACKET 05
  + M6 WELD NUT
  + M6 BOLT</t>
  </si>
  <si>
    <t>BRACKET 06
  + M6 WELD NUT
  + M6 BOLT</t>
  </si>
  <si>
    <r>
      <rPr>
        <b/>
        <sz val="11"/>
        <color theme="1"/>
        <rFont val="Calibri"/>
        <family val="2"/>
        <scheme val="minor"/>
      </rPr>
      <t xml:space="preserve">This is a only BIW weight (14.7Kg)  </t>
    </r>
    <r>
      <rPr>
        <sz val="11"/>
        <color theme="1"/>
        <rFont val="Calibri"/>
        <family val="2"/>
        <scheme val="minor"/>
      </rPr>
      <t xml:space="preserve">                                                  Hinge and Latch weight is not counted in Total weight</t>
    </r>
  </si>
  <si>
    <t>FRONT DOOR AREA</t>
  </si>
  <si>
    <t>MJAC340H-OC-45/45</t>
  </si>
  <si>
    <t>MJAC270D-OC-45/45</t>
  </si>
  <si>
    <t>MJAC270C-OC-45/45</t>
  </si>
  <si>
    <t>MJSC270D-OC-45/45</t>
  </si>
  <si>
    <t>MJSC270D-OC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</si>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</sst>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0" fillId="0" borderId="14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" xfId="0" applyBorder="1" applyAlignment="1"/>
    <xf numFmtId="0" fontId="0" fillId="0" borderId="1" xfId="0" applyBorder="1" applyAlignment="1">
      <alignment horizontal="left" vertical="center" indent="3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164" fontId="3" fillId="2" borderId="2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0" fontId="0" fillId="6" borderId="14" xfId="0" quotePrefix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3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2" borderId="10" xfId="0" applyFill="1" applyBorder="1" applyAlignment="1">
      <alignment horizontal="right" vertical="center" wrapText="1"/>
    </xf>
    <xf numFmtId="0" fontId="0" fillId="2" borderId="11" xfId="0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0" fontId="0" fillId="2" borderId="28" xfId="0" applyFill="1" applyBorder="1" applyAlignment="1">
      <alignment horizontal="right" vertical="center" wrapText="1"/>
    </xf>
    <xf numFmtId="0" fontId="0" fillId="2" borderId="29" xfId="0" applyFill="1" applyBorder="1" applyAlignment="1">
      <alignment horizontal="right" vertical="center" wrapText="1"/>
    </xf>
    <xf numFmtId="0" fontId="0" fillId="2" borderId="30" xfId="0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e 2" xfId="2"/>
    <cellStyle name="Normale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114301</xdr:colOff>
      <xdr:row>12</xdr:row>
      <xdr:rowOff>19050</xdr:rowOff>
    </xdr:from>
    <xdr:to>
      <xdr:col>2</xdr:col>
      <xdr:colOff>1038225</xdr:colOff>
      <xdr:row>12</xdr:row>
      <xdr:rowOff>733261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1" y="7791450"/>
          <a:ext cx="923924" cy="71421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10</xdr:row>
      <xdr:rowOff>38100</xdr:rowOff>
    </xdr:from>
    <xdr:to>
      <xdr:col>2</xdr:col>
      <xdr:colOff>1162049</xdr:colOff>
      <xdr:row>10</xdr:row>
      <xdr:rowOff>721546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8424" y="6610350"/>
          <a:ext cx="1133475" cy="68344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</xdr:row>
      <xdr:rowOff>28575</xdr:rowOff>
    </xdr:from>
    <xdr:to>
      <xdr:col>2</xdr:col>
      <xdr:colOff>1119014</xdr:colOff>
      <xdr:row>9</xdr:row>
      <xdr:rowOff>723900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7950" y="5838825"/>
          <a:ext cx="1080914" cy="69532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3</xdr:row>
      <xdr:rowOff>38101</xdr:rowOff>
    </xdr:from>
    <xdr:to>
      <xdr:col>2</xdr:col>
      <xdr:colOff>790575</xdr:colOff>
      <xdr:row>3</xdr:row>
      <xdr:rowOff>730055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4651" y="1276351"/>
          <a:ext cx="485774" cy="691954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5</xdr:row>
      <xdr:rowOff>28576</xdr:rowOff>
    </xdr:from>
    <xdr:to>
      <xdr:col>2</xdr:col>
      <xdr:colOff>819151</xdr:colOff>
      <xdr:row>5</xdr:row>
      <xdr:rowOff>732510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14651" y="2790826"/>
          <a:ext cx="514350" cy="70393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238126</xdr:colOff>
      <xdr:row>2</xdr:row>
      <xdr:rowOff>28575</xdr:rowOff>
    </xdr:from>
    <xdr:to>
      <xdr:col>2</xdr:col>
      <xdr:colOff>809626</xdr:colOff>
      <xdr:row>2</xdr:row>
      <xdr:rowOff>729284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47976" y="504825"/>
          <a:ext cx="571500" cy="700709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4</xdr:row>
      <xdr:rowOff>38101</xdr:rowOff>
    </xdr:from>
    <xdr:to>
      <xdr:col>2</xdr:col>
      <xdr:colOff>828675</xdr:colOff>
      <xdr:row>4</xdr:row>
      <xdr:rowOff>722979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05126" y="2038351"/>
          <a:ext cx="533399" cy="684878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</xdr:row>
      <xdr:rowOff>19050</xdr:rowOff>
    </xdr:from>
    <xdr:to>
      <xdr:col>2</xdr:col>
      <xdr:colOff>1019175</xdr:colOff>
      <xdr:row>7</xdr:row>
      <xdr:rowOff>3489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90825" y="3543300"/>
          <a:ext cx="838200" cy="74643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8</xdr:row>
      <xdr:rowOff>28576</xdr:rowOff>
    </xdr:from>
    <xdr:to>
      <xdr:col>2</xdr:col>
      <xdr:colOff>1005195</xdr:colOff>
      <xdr:row>8</xdr:row>
      <xdr:rowOff>733426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90826" y="5076826"/>
          <a:ext cx="824219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7</xdr:row>
      <xdr:rowOff>19051</xdr:rowOff>
    </xdr:from>
    <xdr:to>
      <xdr:col>2</xdr:col>
      <xdr:colOff>895350</xdr:colOff>
      <xdr:row>7</xdr:row>
      <xdr:rowOff>741694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7975" y="4305301"/>
          <a:ext cx="657225" cy="7226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11</xdr:row>
      <xdr:rowOff>57150</xdr:rowOff>
    </xdr:from>
    <xdr:to>
      <xdr:col>2</xdr:col>
      <xdr:colOff>1176555</xdr:colOff>
      <xdr:row>11</xdr:row>
      <xdr:rowOff>685800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19374" y="7391400"/>
          <a:ext cx="1167031" cy="628650"/>
        </a:xfrm>
        <a:prstGeom prst="rect">
          <a:avLst/>
        </a:prstGeom>
      </xdr:spPr>
    </xdr:pic>
    <xdr:clientData/>
  </xdr:twoCellAnchor>
  <xdr:twoCellAnchor editAs="oneCell">
    <xdr:from>
      <xdr:col>2</xdr:col>
      <xdr:colOff>105252</xdr:colOff>
      <xdr:row>14</xdr:row>
      <xdr:rowOff>19051</xdr:rowOff>
    </xdr:from>
    <xdr:to>
      <xdr:col>2</xdr:col>
      <xdr:colOff>1085851</xdr:colOff>
      <xdr:row>14</xdr:row>
      <xdr:rowOff>752475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15102" y="9296401"/>
          <a:ext cx="980599" cy="733424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15</xdr:row>
      <xdr:rowOff>28576</xdr:rowOff>
    </xdr:from>
    <xdr:to>
      <xdr:col>2</xdr:col>
      <xdr:colOff>866775</xdr:colOff>
      <xdr:row>15</xdr:row>
      <xdr:rowOff>725312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05125" y="10067926"/>
          <a:ext cx="571500" cy="696736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16</xdr:row>
      <xdr:rowOff>28575</xdr:rowOff>
    </xdr:from>
    <xdr:to>
      <xdr:col>2</xdr:col>
      <xdr:colOff>895350</xdr:colOff>
      <xdr:row>16</xdr:row>
      <xdr:rowOff>742000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67025" y="10829925"/>
          <a:ext cx="638175" cy="71342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104777</xdr:colOff>
      <xdr:row>13</xdr:row>
      <xdr:rowOff>28577</xdr:rowOff>
    </xdr:from>
    <xdr:to>
      <xdr:col>2</xdr:col>
      <xdr:colOff>1097396</xdr:colOff>
      <xdr:row>13</xdr:row>
      <xdr:rowOff>742950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14627" y="8867777"/>
          <a:ext cx="992619" cy="714373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17</xdr:row>
      <xdr:rowOff>28575</xdr:rowOff>
    </xdr:from>
    <xdr:to>
      <xdr:col>2</xdr:col>
      <xdr:colOff>914399</xdr:colOff>
      <xdr:row>17</xdr:row>
      <xdr:rowOff>731968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19400" y="11915775"/>
          <a:ext cx="704849" cy="703393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19</xdr:row>
      <xdr:rowOff>28575</xdr:rowOff>
    </xdr:from>
    <xdr:to>
      <xdr:col>2</xdr:col>
      <xdr:colOff>971550</xdr:colOff>
      <xdr:row>19</xdr:row>
      <xdr:rowOff>748702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90826" y="13439775"/>
          <a:ext cx="790574" cy="720127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20</xdr:row>
      <xdr:rowOff>28575</xdr:rowOff>
    </xdr:from>
    <xdr:to>
      <xdr:col>2</xdr:col>
      <xdr:colOff>990599</xdr:colOff>
      <xdr:row>20</xdr:row>
      <xdr:rowOff>748702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09875" y="14201775"/>
          <a:ext cx="790574" cy="720127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266701</xdr:colOff>
      <xdr:row>18</xdr:row>
      <xdr:rowOff>28576</xdr:rowOff>
    </xdr:from>
    <xdr:to>
      <xdr:col>2</xdr:col>
      <xdr:colOff>933450</xdr:colOff>
      <xdr:row>18</xdr:row>
      <xdr:rowOff>738768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76551" y="12677776"/>
          <a:ext cx="666749" cy="71019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21</xdr:row>
      <xdr:rowOff>9526</xdr:rowOff>
    </xdr:from>
    <xdr:to>
      <xdr:col>2</xdr:col>
      <xdr:colOff>1114425</xdr:colOff>
      <xdr:row>21</xdr:row>
      <xdr:rowOff>738008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1" y="14944726"/>
          <a:ext cx="1019174" cy="728482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22</xdr:row>
      <xdr:rowOff>19050</xdr:rowOff>
    </xdr:from>
    <xdr:to>
      <xdr:col>2</xdr:col>
      <xdr:colOff>1114425</xdr:colOff>
      <xdr:row>22</xdr:row>
      <xdr:rowOff>739946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76525" y="15716250"/>
          <a:ext cx="1047750" cy="720896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23</xdr:row>
      <xdr:rowOff>28575</xdr:rowOff>
    </xdr:from>
    <xdr:to>
      <xdr:col>2</xdr:col>
      <xdr:colOff>904875</xdr:colOff>
      <xdr:row>23</xdr:row>
      <xdr:rowOff>734774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86076" y="16487775"/>
          <a:ext cx="628649" cy="70619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24</xdr:row>
      <xdr:rowOff>9526</xdr:rowOff>
    </xdr:from>
    <xdr:to>
      <xdr:col>2</xdr:col>
      <xdr:colOff>914400</xdr:colOff>
      <xdr:row>24</xdr:row>
      <xdr:rowOff>740389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14651" y="17230726"/>
          <a:ext cx="609599" cy="730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5" sqref="J5"/>
    </sheetView>
  </sheetViews>
  <sheetFormatPr defaultRowHeight="15"/>
  <cols>
    <col min="2" max="2" width="30" bestFit="1" customWidth="1"/>
    <col min="3" max="3" width="17.85546875" customWidth="1"/>
    <col min="4" max="4" width="19.28515625" bestFit="1" customWidth="1"/>
    <col min="7" max="7" width="12.140625" customWidth="1"/>
    <col min="8" max="8" width="19.28515625" customWidth="1"/>
    <col min="9" max="9" width="23.28515625" customWidth="1"/>
  </cols>
  <sheetData>
    <row r="1" spans="1:8" ht="21.75" thickBot="1">
      <c r="A1" s="64" t="s">
        <v>23</v>
      </c>
      <c r="B1" s="65"/>
      <c r="C1" s="65"/>
      <c r="D1" s="65"/>
      <c r="E1" s="65"/>
      <c r="F1" s="65"/>
      <c r="G1" s="65"/>
      <c r="H1" s="66"/>
    </row>
    <row r="2" spans="1:8" ht="15.75" thickBot="1">
      <c r="A2" s="56" t="s">
        <v>8</v>
      </c>
      <c r="B2" s="57" t="s">
        <v>0</v>
      </c>
      <c r="C2" s="57" t="s">
        <v>1</v>
      </c>
      <c r="D2" s="57" t="s">
        <v>2</v>
      </c>
      <c r="E2" s="57" t="s">
        <v>3</v>
      </c>
      <c r="F2" s="57" t="s">
        <v>4</v>
      </c>
      <c r="G2" s="57" t="s">
        <v>12</v>
      </c>
      <c r="H2" s="58" t="s">
        <v>13</v>
      </c>
    </row>
    <row r="3" spans="1:8" ht="60" customHeight="1">
      <c r="A3" s="7">
        <v>1</v>
      </c>
      <c r="B3" s="15" t="s">
        <v>24</v>
      </c>
      <c r="C3" s="8"/>
      <c r="D3" s="19" t="s">
        <v>11</v>
      </c>
      <c r="E3" s="19" t="s">
        <v>11</v>
      </c>
      <c r="F3" s="19" t="s">
        <v>11</v>
      </c>
      <c r="G3" s="53" t="s">
        <v>11</v>
      </c>
      <c r="H3" s="31" t="s">
        <v>11</v>
      </c>
    </row>
    <row r="4" spans="1:8" ht="60" customHeight="1">
      <c r="A4" s="7">
        <v>2</v>
      </c>
      <c r="B4" s="17" t="s">
        <v>6</v>
      </c>
      <c r="C4" s="8"/>
      <c r="D4" s="9" t="s">
        <v>51</v>
      </c>
      <c r="E4" s="9">
        <v>0.6</v>
      </c>
      <c r="F4" s="9">
        <v>1</v>
      </c>
      <c r="G4" s="52">
        <f>'WEIGHT CHART'!I5</f>
        <v>4840.4924690472008</v>
      </c>
      <c r="H4" s="29">
        <f>F4*G4</f>
        <v>4840.4924690472008</v>
      </c>
    </row>
    <row r="5" spans="1:8" ht="60" customHeight="1">
      <c r="A5" s="4">
        <v>2</v>
      </c>
      <c r="B5" s="38" t="s">
        <v>9</v>
      </c>
      <c r="C5" s="2"/>
      <c r="D5" s="19" t="s">
        <v>11</v>
      </c>
      <c r="E5" s="19" t="s">
        <v>11</v>
      </c>
      <c r="F5" s="19" t="s">
        <v>11</v>
      </c>
      <c r="G5" s="53" t="s">
        <v>11</v>
      </c>
      <c r="H5" s="31" t="s">
        <v>11</v>
      </c>
    </row>
    <row r="6" spans="1:8" ht="60" customHeight="1">
      <c r="A6" s="4">
        <v>3</v>
      </c>
      <c r="B6" s="18" t="s">
        <v>10</v>
      </c>
      <c r="C6" s="2"/>
      <c r="D6" s="9" t="s">
        <v>52</v>
      </c>
      <c r="E6" s="3">
        <v>0.65</v>
      </c>
      <c r="F6" s="3">
        <v>1</v>
      </c>
      <c r="G6" s="50">
        <f>'WEIGHT CHART'!I6</f>
        <v>5411.8133584788011</v>
      </c>
      <c r="H6" s="30">
        <f t="shared" ref="H6" si="0">F6*G6</f>
        <v>5411.8133584788011</v>
      </c>
    </row>
    <row r="7" spans="1:8" ht="60" customHeight="1">
      <c r="A7" s="4">
        <v>3</v>
      </c>
      <c r="B7" s="18" t="s">
        <v>25</v>
      </c>
      <c r="C7" s="2"/>
      <c r="D7" s="9" t="s">
        <v>52</v>
      </c>
      <c r="E7" s="3">
        <v>1</v>
      </c>
      <c r="F7" s="3">
        <v>1</v>
      </c>
      <c r="G7" s="50">
        <f>'WEIGHT CHART'!I7</f>
        <v>296.37620648999996</v>
      </c>
      <c r="H7" s="30">
        <f t="shared" ref="H7:H12" si="1">F7*G7</f>
        <v>296.37620648999996</v>
      </c>
    </row>
    <row r="8" spans="1:8" ht="60" customHeight="1">
      <c r="A8" s="4">
        <v>3</v>
      </c>
      <c r="B8" s="18" t="s">
        <v>26</v>
      </c>
      <c r="C8" s="2"/>
      <c r="D8" s="9" t="s">
        <v>52</v>
      </c>
      <c r="E8" s="3">
        <v>1</v>
      </c>
      <c r="F8" s="3">
        <v>1</v>
      </c>
      <c r="G8" s="50">
        <f>'WEIGHT CHART'!I8</f>
        <v>125.561532642</v>
      </c>
      <c r="H8" s="30">
        <f t="shared" si="1"/>
        <v>125.561532642</v>
      </c>
    </row>
    <row r="9" spans="1:8" ht="60" customHeight="1">
      <c r="A9" s="4">
        <v>3</v>
      </c>
      <c r="B9" s="18" t="s">
        <v>27</v>
      </c>
      <c r="C9" s="2"/>
      <c r="D9" s="9" t="s">
        <v>53</v>
      </c>
      <c r="E9" s="3">
        <v>1</v>
      </c>
      <c r="F9" s="3">
        <v>1</v>
      </c>
      <c r="G9" s="50">
        <f>'WEIGHT CHART'!I9</f>
        <v>92.393506926000001</v>
      </c>
      <c r="H9" s="30">
        <f t="shared" si="1"/>
        <v>92.393506926000001</v>
      </c>
    </row>
    <row r="10" spans="1:8" ht="60" customHeight="1">
      <c r="A10" s="4">
        <v>3</v>
      </c>
      <c r="B10" s="18" t="s">
        <v>28</v>
      </c>
      <c r="C10" s="2"/>
      <c r="D10" s="9" t="s">
        <v>52</v>
      </c>
      <c r="E10" s="3">
        <v>0.65</v>
      </c>
      <c r="F10" s="3">
        <v>1</v>
      </c>
      <c r="G10" s="50">
        <f>'WEIGHT CHART'!I10</f>
        <v>530.9005870077001</v>
      </c>
      <c r="H10" s="30">
        <f t="shared" si="1"/>
        <v>530.9005870077001</v>
      </c>
    </row>
    <row r="11" spans="1:8" ht="60" customHeight="1">
      <c r="A11" s="4">
        <v>3</v>
      </c>
      <c r="B11" s="18" t="s">
        <v>29</v>
      </c>
      <c r="C11" s="2"/>
      <c r="D11" s="9" t="s">
        <v>52</v>
      </c>
      <c r="E11" s="3">
        <v>0.65</v>
      </c>
      <c r="F11" s="3">
        <v>1</v>
      </c>
      <c r="G11" s="50">
        <f>'WEIGHT CHART'!I11</f>
        <v>550.67089197120004</v>
      </c>
      <c r="H11" s="30">
        <f t="shared" si="1"/>
        <v>550.67089197120004</v>
      </c>
    </row>
    <row r="12" spans="1:8" ht="59.25" customHeight="1">
      <c r="A12" s="4">
        <v>3</v>
      </c>
      <c r="B12" s="18" t="s">
        <v>30</v>
      </c>
      <c r="C12" s="36"/>
      <c r="D12" s="9" t="s">
        <v>54</v>
      </c>
      <c r="E12" s="12">
        <v>1.2</v>
      </c>
      <c r="F12" s="3">
        <v>1</v>
      </c>
      <c r="G12" s="50">
        <f>'WEIGHT CHART'!I12</f>
        <v>1504.7345236896001</v>
      </c>
      <c r="H12" s="30">
        <f t="shared" si="1"/>
        <v>1504.7345236896001</v>
      </c>
    </row>
    <row r="13" spans="1:8" ht="59.25" customHeight="1">
      <c r="A13" s="4">
        <v>3</v>
      </c>
      <c r="B13" s="18" t="s">
        <v>31</v>
      </c>
      <c r="C13" s="35"/>
      <c r="D13" s="9" t="s">
        <v>54</v>
      </c>
      <c r="E13" s="12">
        <v>1.2</v>
      </c>
      <c r="F13" s="3">
        <v>1</v>
      </c>
      <c r="G13" s="49">
        <f>'WEIGHT CHART'!I13</f>
        <v>625.50274666320001</v>
      </c>
      <c r="H13" s="30">
        <f t="shared" ref="H13:H17" si="2">F13*G13</f>
        <v>625.50274666320001</v>
      </c>
    </row>
    <row r="14" spans="1:8" ht="60" customHeight="1">
      <c r="A14" s="4">
        <v>3</v>
      </c>
      <c r="B14" s="39" t="s">
        <v>32</v>
      </c>
      <c r="C14" s="36"/>
      <c r="D14" s="12" t="s">
        <v>11</v>
      </c>
      <c r="E14" s="12" t="s">
        <v>11</v>
      </c>
      <c r="F14" s="19" t="s">
        <v>11</v>
      </c>
      <c r="G14" s="53" t="s">
        <v>11</v>
      </c>
      <c r="H14" s="31" t="s">
        <v>11</v>
      </c>
    </row>
    <row r="15" spans="1:8" ht="60" customHeight="1">
      <c r="A15" s="4">
        <v>4</v>
      </c>
      <c r="B15" s="37" t="s">
        <v>35</v>
      </c>
      <c r="C15" s="35"/>
      <c r="D15" s="12" t="s">
        <v>55</v>
      </c>
      <c r="E15" s="12">
        <v>0.8</v>
      </c>
      <c r="F15" s="3">
        <v>1</v>
      </c>
      <c r="G15" s="49">
        <f>'WEIGHT CHART'!I14</f>
        <v>256.64094720000003</v>
      </c>
      <c r="H15" s="30">
        <f t="shared" si="2"/>
        <v>256.64094720000003</v>
      </c>
    </row>
    <row r="16" spans="1:8" ht="60" customHeight="1">
      <c r="A16" s="4">
        <v>4</v>
      </c>
      <c r="B16" s="37" t="s">
        <v>36</v>
      </c>
      <c r="C16" s="35"/>
      <c r="D16" s="9" t="s">
        <v>52</v>
      </c>
      <c r="E16" s="12">
        <v>1</v>
      </c>
      <c r="F16" s="3">
        <v>1</v>
      </c>
      <c r="G16" s="49">
        <f>'WEIGHT CHART'!I15</f>
        <v>34.810108620000001</v>
      </c>
      <c r="H16" s="30">
        <f t="shared" si="2"/>
        <v>34.810108620000001</v>
      </c>
    </row>
    <row r="17" spans="1:8" ht="60" customHeight="1">
      <c r="A17" s="4">
        <v>4</v>
      </c>
      <c r="B17" s="37" t="s">
        <v>37</v>
      </c>
      <c r="C17" s="35"/>
      <c r="D17" s="9" t="s">
        <v>52</v>
      </c>
      <c r="E17" s="12">
        <v>1</v>
      </c>
      <c r="F17" s="3">
        <v>1</v>
      </c>
      <c r="G17" s="49">
        <f>'WEIGHT CHART'!I16</f>
        <v>24.417567888000001</v>
      </c>
      <c r="H17" s="30">
        <f t="shared" si="2"/>
        <v>24.417567888000001</v>
      </c>
    </row>
    <row r="18" spans="1:8" ht="60" customHeight="1">
      <c r="A18" s="4">
        <v>3</v>
      </c>
      <c r="B18" s="39" t="s">
        <v>33</v>
      </c>
      <c r="C18" s="35"/>
      <c r="D18" s="12" t="s">
        <v>11</v>
      </c>
      <c r="E18" s="12" t="s">
        <v>11</v>
      </c>
      <c r="F18" s="19" t="s">
        <v>11</v>
      </c>
      <c r="G18" s="53" t="s">
        <v>11</v>
      </c>
      <c r="H18" s="31" t="s">
        <v>11</v>
      </c>
    </row>
    <row r="19" spans="1:8" ht="60" customHeight="1">
      <c r="A19" s="4">
        <v>4</v>
      </c>
      <c r="B19" s="37" t="s">
        <v>38</v>
      </c>
      <c r="C19" s="35"/>
      <c r="D19" s="12" t="s">
        <v>55</v>
      </c>
      <c r="E19" s="12">
        <v>0.8</v>
      </c>
      <c r="F19" s="3">
        <v>1</v>
      </c>
      <c r="G19" s="49">
        <f>'WEIGHT CHART'!I17</f>
        <v>180.88249440000004</v>
      </c>
      <c r="H19" s="30">
        <f t="shared" ref="H19:H21" si="3">F19*G19</f>
        <v>180.88249440000004</v>
      </c>
    </row>
    <row r="20" spans="1:8" ht="60" customHeight="1">
      <c r="A20" s="4">
        <v>4</v>
      </c>
      <c r="B20" s="37" t="s">
        <v>39</v>
      </c>
      <c r="C20" s="35"/>
      <c r="D20" s="9" t="s">
        <v>52</v>
      </c>
      <c r="E20" s="12">
        <v>1</v>
      </c>
      <c r="F20" s="3">
        <v>1</v>
      </c>
      <c r="G20" s="49">
        <f>'WEIGHT CHART'!I18</f>
        <v>5.4721461480000002</v>
      </c>
      <c r="H20" s="30">
        <f t="shared" si="3"/>
        <v>5.4721461480000002</v>
      </c>
    </row>
    <row r="21" spans="1:8" ht="60" customHeight="1">
      <c r="A21" s="4">
        <v>4</v>
      </c>
      <c r="B21" s="37" t="s">
        <v>40</v>
      </c>
      <c r="C21" s="35"/>
      <c r="D21" s="9" t="s">
        <v>52</v>
      </c>
      <c r="E21" s="12">
        <v>1</v>
      </c>
      <c r="F21" s="3">
        <v>1</v>
      </c>
      <c r="G21" s="49">
        <f>'WEIGHT CHART'!I19</f>
        <v>6.1080508020000002</v>
      </c>
      <c r="H21" s="30">
        <f t="shared" si="3"/>
        <v>6.1080508020000002</v>
      </c>
    </row>
    <row r="22" spans="1:8" ht="60" customHeight="1">
      <c r="A22" s="32">
        <v>3</v>
      </c>
      <c r="B22" s="39" t="s">
        <v>34</v>
      </c>
      <c r="C22" s="36"/>
      <c r="D22" s="12" t="s">
        <v>11</v>
      </c>
      <c r="E22" s="13" t="s">
        <v>11</v>
      </c>
      <c r="F22" s="19" t="s">
        <v>11</v>
      </c>
      <c r="G22" s="53" t="s">
        <v>11</v>
      </c>
      <c r="H22" s="31" t="s">
        <v>11</v>
      </c>
    </row>
    <row r="23" spans="1:8" ht="60" customHeight="1">
      <c r="A23" s="4">
        <v>4</v>
      </c>
      <c r="B23" s="37" t="s">
        <v>41</v>
      </c>
      <c r="C23" s="35"/>
      <c r="D23" s="12" t="s">
        <v>55</v>
      </c>
      <c r="E23" s="12">
        <v>0.8</v>
      </c>
      <c r="F23" s="3">
        <v>1</v>
      </c>
      <c r="G23" s="49">
        <f>'WEIGHT CHART'!I20</f>
        <v>189.91017600000001</v>
      </c>
      <c r="H23" s="30">
        <f t="shared" ref="H23:H25" si="4">F23*G23</f>
        <v>189.91017600000001</v>
      </c>
    </row>
    <row r="24" spans="1:8" ht="60" customHeight="1">
      <c r="A24" s="4">
        <v>4</v>
      </c>
      <c r="B24" s="55" t="s">
        <v>47</v>
      </c>
      <c r="C24" s="35"/>
      <c r="D24" s="9" t="s">
        <v>52</v>
      </c>
      <c r="E24" s="12">
        <v>1</v>
      </c>
      <c r="F24" s="3">
        <v>1</v>
      </c>
      <c r="G24" s="49">
        <f>'WEIGHT CHART'!I21</f>
        <v>16.781735412</v>
      </c>
      <c r="H24" s="30">
        <f t="shared" si="4"/>
        <v>16.781735412</v>
      </c>
    </row>
    <row r="25" spans="1:8" ht="60" customHeight="1">
      <c r="A25" s="4">
        <v>4</v>
      </c>
      <c r="B25" s="55" t="s">
        <v>48</v>
      </c>
      <c r="C25" s="35"/>
      <c r="D25" s="9" t="s">
        <v>52</v>
      </c>
      <c r="E25" s="12">
        <v>1</v>
      </c>
      <c r="F25" s="3">
        <v>1</v>
      </c>
      <c r="G25" s="49">
        <f>'WEIGHT CHART'!I22</f>
        <v>22.264858050000001</v>
      </c>
      <c r="H25" s="30">
        <f t="shared" si="4"/>
        <v>22.264858050000001</v>
      </c>
    </row>
    <row r="26" spans="1:8" ht="35.1" customHeight="1">
      <c r="A26" s="32">
        <v>1</v>
      </c>
      <c r="B26" s="14" t="s">
        <v>42</v>
      </c>
      <c r="C26" s="3" t="s">
        <v>56</v>
      </c>
      <c r="D26" s="13" t="s">
        <v>45</v>
      </c>
      <c r="E26" s="13">
        <v>5</v>
      </c>
      <c r="F26" s="19">
        <v>1</v>
      </c>
      <c r="G26" s="49">
        <v>2500</v>
      </c>
      <c r="H26" s="30">
        <f t="shared" ref="H26" si="5">F26*G26</f>
        <v>2500</v>
      </c>
    </row>
    <row r="27" spans="1:8" ht="35.1" customHeight="1">
      <c r="A27" s="32">
        <v>1</v>
      </c>
      <c r="B27" s="14" t="s">
        <v>43</v>
      </c>
      <c r="C27" s="9" t="s">
        <v>56</v>
      </c>
      <c r="D27" s="13" t="s">
        <v>45</v>
      </c>
      <c r="E27" s="13">
        <v>5</v>
      </c>
      <c r="F27" s="19">
        <v>1</v>
      </c>
      <c r="G27" s="49">
        <v>2500</v>
      </c>
      <c r="H27" s="30">
        <f t="shared" ref="H27:H28" si="6">F27*G27</f>
        <v>2500</v>
      </c>
    </row>
    <row r="28" spans="1:8" ht="35.1" customHeight="1" thickBot="1">
      <c r="A28" s="32">
        <v>1</v>
      </c>
      <c r="B28" s="14" t="s">
        <v>44</v>
      </c>
      <c r="C28" s="60" t="s">
        <v>56</v>
      </c>
      <c r="D28" s="13" t="s">
        <v>45</v>
      </c>
      <c r="E28" s="13" t="s">
        <v>11</v>
      </c>
      <c r="F28" s="19">
        <v>1</v>
      </c>
      <c r="G28" s="49">
        <v>500</v>
      </c>
      <c r="H28" s="30">
        <f t="shared" si="6"/>
        <v>500</v>
      </c>
    </row>
    <row r="29" spans="1:8" ht="21.75" thickBot="1">
      <c r="A29" s="61" t="s">
        <v>7</v>
      </c>
      <c r="B29" s="62"/>
      <c r="C29" s="62"/>
      <c r="D29" s="62"/>
      <c r="E29" s="62"/>
      <c r="F29" s="62"/>
      <c r="G29" s="63"/>
      <c r="H29" s="40">
        <f>H4+H6+H7+H8+H9+H11+H12+H10+H13+H15+H16+H17+H19+H20+H21+H23+H24+H25</f>
        <v>14715.733907435702</v>
      </c>
    </row>
    <row r="30" spans="1:8" ht="15" customHeight="1">
      <c r="E30" s="67" t="s">
        <v>49</v>
      </c>
      <c r="F30" s="68"/>
      <c r="G30" s="68"/>
      <c r="H30" s="69"/>
    </row>
    <row r="31" spans="1:8" ht="15.75" thickBot="1">
      <c r="E31" s="70"/>
      <c r="F31" s="71"/>
      <c r="G31" s="71"/>
      <c r="H31" s="72"/>
    </row>
  </sheetData>
  <autoFilter ref="A2:H29"/>
  <mergeCells count="3">
    <mergeCell ref="A29:G29"/>
    <mergeCell ref="A1:H1"/>
    <mergeCell ref="E30:H31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5" sqref="D5"/>
    </sheetView>
  </sheetViews>
  <sheetFormatPr defaultRowHeight="15"/>
  <cols>
    <col min="2" max="2" width="26.28515625" customWidth="1"/>
    <col min="3" max="3" width="9.5703125" customWidth="1"/>
    <col min="4" max="4" width="16" customWidth="1"/>
    <col min="5" max="5" width="9.5703125" customWidth="1"/>
    <col min="6" max="6" width="7.85546875" customWidth="1"/>
    <col min="7" max="7" width="8.28515625" customWidth="1"/>
    <col min="8" max="8" width="7.140625" customWidth="1"/>
    <col min="9" max="9" width="14.5703125" customWidth="1"/>
  </cols>
  <sheetData>
    <row r="1" spans="1:9" ht="15.75" thickBot="1">
      <c r="A1" s="1"/>
      <c r="B1" s="1"/>
      <c r="C1" s="1"/>
      <c r="D1" s="1"/>
      <c r="E1" s="1"/>
      <c r="F1" s="1"/>
      <c r="G1" s="1"/>
    </row>
    <row r="2" spans="1:9" ht="15.75" thickBot="1">
      <c r="A2" s="74" t="s">
        <v>50</v>
      </c>
      <c r="B2" s="75"/>
      <c r="C2" s="75"/>
      <c r="D2" s="75"/>
      <c r="E2" s="75"/>
      <c r="F2" s="75"/>
      <c r="G2" s="75"/>
      <c r="H2" s="75"/>
      <c r="I2" s="76"/>
    </row>
    <row r="3" spans="1:9">
      <c r="A3" s="77" t="s">
        <v>5</v>
      </c>
      <c r="B3" s="79" t="s">
        <v>0</v>
      </c>
      <c r="C3" s="33" t="s">
        <v>14</v>
      </c>
      <c r="D3" s="33" t="s">
        <v>15</v>
      </c>
      <c r="E3" s="79" t="s">
        <v>16</v>
      </c>
      <c r="F3" s="33" t="s">
        <v>3</v>
      </c>
      <c r="G3" s="79" t="s">
        <v>16</v>
      </c>
      <c r="H3" s="79" t="s">
        <v>17</v>
      </c>
      <c r="I3" s="27" t="s">
        <v>18</v>
      </c>
    </row>
    <row r="4" spans="1:9" ht="15.75" thickBot="1">
      <c r="A4" s="78"/>
      <c r="B4" s="80"/>
      <c r="C4" s="34" t="s">
        <v>20</v>
      </c>
      <c r="D4" s="34" t="s">
        <v>21</v>
      </c>
      <c r="E4" s="80"/>
      <c r="F4" s="34" t="s">
        <v>22</v>
      </c>
      <c r="G4" s="80"/>
      <c r="H4" s="80"/>
      <c r="I4" s="28" t="s">
        <v>19</v>
      </c>
    </row>
    <row r="5" spans="1:9">
      <c r="A5" s="41">
        <v>1</v>
      </c>
      <c r="B5" s="42" t="str">
        <f>'BOM-DOOR'!B4</f>
        <v>PANEL , OUTER</v>
      </c>
      <c r="C5" s="43">
        <v>7.86</v>
      </c>
      <c r="D5" s="51">
        <v>11024.682000000001</v>
      </c>
      <c r="E5" s="44">
        <v>0.95</v>
      </c>
      <c r="F5" s="45">
        <v>0.06</v>
      </c>
      <c r="G5" s="45">
        <v>0.98</v>
      </c>
      <c r="H5" s="46">
        <v>1</v>
      </c>
      <c r="I5" s="47">
        <f>C5*(D5*E5)*(F5*G5)*H5</f>
        <v>4840.4924690472008</v>
      </c>
    </row>
    <row r="6" spans="1:9">
      <c r="A6" s="4">
        <v>2</v>
      </c>
      <c r="B6" s="16" t="str">
        <f>'BOM-DOOR'!B6</f>
        <v>PANEL, INNER</v>
      </c>
      <c r="C6" s="3">
        <v>7.86</v>
      </c>
      <c r="D6" s="48">
        <v>11377.772000000001</v>
      </c>
      <c r="E6" s="20">
        <v>0.95</v>
      </c>
      <c r="F6" s="21">
        <v>6.5000000000000002E-2</v>
      </c>
      <c r="G6" s="21">
        <v>0.98</v>
      </c>
      <c r="H6" s="10">
        <v>1</v>
      </c>
      <c r="I6" s="22">
        <f t="shared" ref="I6:I19" si="0">C6*(D6*E6)*(F6*G6)*H6</f>
        <v>5411.8133584788011</v>
      </c>
    </row>
    <row r="7" spans="1:9">
      <c r="A7" s="4">
        <v>3</v>
      </c>
      <c r="B7" s="16" t="str">
        <f>'BOM-DOOR'!B7</f>
        <v>REINFORCEMENT HINGE UPR</v>
      </c>
      <c r="C7" s="3">
        <v>7.86</v>
      </c>
      <c r="D7" s="48">
        <v>405.01499999999999</v>
      </c>
      <c r="E7" s="20">
        <v>0.95</v>
      </c>
      <c r="F7" s="21">
        <v>0.1</v>
      </c>
      <c r="G7" s="21">
        <v>0.98</v>
      </c>
      <c r="H7" s="10">
        <v>1</v>
      </c>
      <c r="I7" s="22">
        <f t="shared" si="0"/>
        <v>296.37620648999996</v>
      </c>
    </row>
    <row r="8" spans="1:9">
      <c r="A8" s="4">
        <v>4</v>
      </c>
      <c r="B8" s="16" t="str">
        <f>'BOM-DOOR'!B8</f>
        <v>REINFORCEMENT HINGE LWR</v>
      </c>
      <c r="C8" s="3">
        <v>7.86</v>
      </c>
      <c r="D8" s="54">
        <v>171.58699999999999</v>
      </c>
      <c r="E8" s="20">
        <v>0.95</v>
      </c>
      <c r="F8" s="21">
        <v>0.1</v>
      </c>
      <c r="G8" s="21">
        <v>0.98</v>
      </c>
      <c r="H8" s="10">
        <v>1</v>
      </c>
      <c r="I8" s="22">
        <f t="shared" si="0"/>
        <v>125.561532642</v>
      </c>
    </row>
    <row r="9" spans="1:9">
      <c r="A9" s="4">
        <v>5</v>
      </c>
      <c r="B9" s="16" t="str">
        <f>'BOM-DOOR'!B9</f>
        <v>REINFORCEMENT LATCH</v>
      </c>
      <c r="C9" s="3">
        <v>7.86</v>
      </c>
      <c r="D9" s="54">
        <v>126.261</v>
      </c>
      <c r="E9" s="20">
        <v>0.95</v>
      </c>
      <c r="F9" s="21">
        <v>0.1</v>
      </c>
      <c r="G9" s="21">
        <v>0.98</v>
      </c>
      <c r="H9" s="10">
        <v>1</v>
      </c>
      <c r="I9" s="22">
        <f t="shared" si="0"/>
        <v>92.393506926000001</v>
      </c>
    </row>
    <row r="10" spans="1:9">
      <c r="A10" s="4">
        <v>6</v>
      </c>
      <c r="B10" s="16" t="str">
        <f>'BOM-DOOR'!B10</f>
        <v>STIFFNER 1</v>
      </c>
      <c r="C10" s="3">
        <v>7.86</v>
      </c>
      <c r="D10" s="48">
        <v>1116.163</v>
      </c>
      <c r="E10" s="20">
        <v>0.95</v>
      </c>
      <c r="F10" s="21">
        <v>6.5000000000000002E-2</v>
      </c>
      <c r="G10" s="21">
        <v>0.98</v>
      </c>
      <c r="H10" s="10">
        <v>1</v>
      </c>
      <c r="I10" s="22">
        <f t="shared" si="0"/>
        <v>530.9005870077001</v>
      </c>
    </row>
    <row r="11" spans="1:9">
      <c r="A11" s="4">
        <v>7</v>
      </c>
      <c r="B11" s="16" t="str">
        <f>'BOM-DOOR'!B11</f>
        <v>STIFFNER 2</v>
      </c>
      <c r="C11" s="3">
        <v>7.86</v>
      </c>
      <c r="D11" s="48">
        <v>1157.7280000000001</v>
      </c>
      <c r="E11" s="20">
        <v>0.95</v>
      </c>
      <c r="F11" s="21">
        <v>6.5000000000000002E-2</v>
      </c>
      <c r="G11" s="21">
        <v>0.98</v>
      </c>
      <c r="H11" s="10">
        <v>1</v>
      </c>
      <c r="I11" s="22">
        <f t="shared" ref="I11:I14" si="1">C11*(D11*E11)*(F11*G11)*H11</f>
        <v>550.67089197120004</v>
      </c>
    </row>
    <row r="12" spans="1:9">
      <c r="A12" s="4">
        <v>8</v>
      </c>
      <c r="B12" s="16" t="str">
        <f>'BOM-DOOR'!B12</f>
        <v>REINFORCEMENT BELTLINE</v>
      </c>
      <c r="C12" s="3">
        <v>7.86</v>
      </c>
      <c r="D12" s="48">
        <v>1713.588</v>
      </c>
      <c r="E12" s="20">
        <v>0.95</v>
      </c>
      <c r="F12" s="21">
        <v>0.12</v>
      </c>
      <c r="G12" s="21">
        <v>0.98</v>
      </c>
      <c r="H12" s="10">
        <v>1</v>
      </c>
      <c r="I12" s="22">
        <f t="shared" si="1"/>
        <v>1504.7345236896001</v>
      </c>
    </row>
    <row r="13" spans="1:9">
      <c r="A13" s="4">
        <v>9</v>
      </c>
      <c r="B13" s="16" t="str">
        <f>'BOM-DOOR'!B13</f>
        <v>REINFORCEMENT SILL</v>
      </c>
      <c r="C13" s="3">
        <v>7.86</v>
      </c>
      <c r="D13" s="48">
        <v>712.32100000000003</v>
      </c>
      <c r="E13" s="20">
        <v>0.95</v>
      </c>
      <c r="F13" s="21">
        <v>0.12</v>
      </c>
      <c r="G13" s="21">
        <v>0.98</v>
      </c>
      <c r="H13" s="10">
        <v>1</v>
      </c>
      <c r="I13" s="22">
        <f t="shared" si="1"/>
        <v>625.50274666320001</v>
      </c>
    </row>
    <row r="14" spans="1:9">
      <c r="A14" s="4">
        <v>10</v>
      </c>
      <c r="B14" s="16" t="str">
        <f>'BOM-DOOR'!B15</f>
        <v>SASH FR FR</v>
      </c>
      <c r="C14" s="3">
        <v>7.86</v>
      </c>
      <c r="D14" s="48">
        <v>408.14400000000001</v>
      </c>
      <c r="E14" s="20">
        <v>1</v>
      </c>
      <c r="F14" s="21">
        <v>0.08</v>
      </c>
      <c r="G14" s="21">
        <v>1</v>
      </c>
      <c r="H14" s="10">
        <v>1</v>
      </c>
      <c r="I14" s="22">
        <f t="shared" si="1"/>
        <v>256.64094720000003</v>
      </c>
    </row>
    <row r="15" spans="1:9">
      <c r="A15" s="4">
        <v>11</v>
      </c>
      <c r="B15" s="16" t="str">
        <f>'BOM-DOOR'!B16</f>
        <v>BRACKET 01</v>
      </c>
      <c r="C15" s="3">
        <v>7.86</v>
      </c>
      <c r="D15" s="48">
        <v>47.57</v>
      </c>
      <c r="E15" s="20">
        <v>0.95</v>
      </c>
      <c r="F15" s="21">
        <v>0.1</v>
      </c>
      <c r="G15" s="21">
        <v>0.98</v>
      </c>
      <c r="H15" s="10">
        <v>1</v>
      </c>
      <c r="I15" s="22">
        <f t="shared" ref="I15:I18" si="2">C15*(D15*E15)*(F15*G15)*H15</f>
        <v>34.810108620000001</v>
      </c>
    </row>
    <row r="16" spans="1:9">
      <c r="A16" s="4">
        <v>12</v>
      </c>
      <c r="B16" s="16" t="str">
        <f>'BOM-DOOR'!B17</f>
        <v>BRACKET 02</v>
      </c>
      <c r="C16" s="3">
        <v>7.86</v>
      </c>
      <c r="D16" s="48">
        <v>33.368000000000002</v>
      </c>
      <c r="E16" s="20">
        <v>0.95</v>
      </c>
      <c r="F16" s="21">
        <v>0.1</v>
      </c>
      <c r="G16" s="21">
        <v>0.98</v>
      </c>
      <c r="H16" s="10">
        <v>1</v>
      </c>
      <c r="I16" s="22">
        <f t="shared" si="2"/>
        <v>24.417567888000001</v>
      </c>
    </row>
    <row r="17" spans="1:9">
      <c r="A17" s="4">
        <v>13</v>
      </c>
      <c r="B17" s="16" t="str">
        <f>'BOM-DOOR'!B19</f>
        <v>SASH FR RR</v>
      </c>
      <c r="C17" s="3">
        <v>7.86</v>
      </c>
      <c r="D17" s="48">
        <v>287.66300000000001</v>
      </c>
      <c r="E17" s="20">
        <v>1</v>
      </c>
      <c r="F17" s="21">
        <v>0.08</v>
      </c>
      <c r="G17" s="21">
        <v>1</v>
      </c>
      <c r="H17" s="10">
        <v>1</v>
      </c>
      <c r="I17" s="22">
        <f t="shared" si="2"/>
        <v>180.88249440000004</v>
      </c>
    </row>
    <row r="18" spans="1:9">
      <c r="A18" s="4">
        <v>14</v>
      </c>
      <c r="B18" s="16" t="str">
        <f>'BOM-DOOR'!B20</f>
        <v>BRACKET 03</v>
      </c>
      <c r="C18" s="3">
        <v>7.86</v>
      </c>
      <c r="D18" s="48">
        <v>7.4779999999999998</v>
      </c>
      <c r="E18" s="20">
        <v>0.95</v>
      </c>
      <c r="F18" s="21">
        <v>0.1</v>
      </c>
      <c r="G18" s="21">
        <v>0.98</v>
      </c>
      <c r="H18" s="10">
        <v>1</v>
      </c>
      <c r="I18" s="22">
        <f t="shared" si="2"/>
        <v>5.4721461480000002</v>
      </c>
    </row>
    <row r="19" spans="1:9">
      <c r="A19" s="4">
        <v>15</v>
      </c>
      <c r="B19" s="16" t="str">
        <f>'BOM-DOOR'!B21</f>
        <v>BRACKET 04</v>
      </c>
      <c r="C19" s="3">
        <v>7.86</v>
      </c>
      <c r="D19" s="48">
        <v>8.3469999999999995</v>
      </c>
      <c r="E19" s="20">
        <v>0.95</v>
      </c>
      <c r="F19" s="21">
        <v>0.1</v>
      </c>
      <c r="G19" s="21">
        <v>0.98</v>
      </c>
      <c r="H19" s="10">
        <v>1</v>
      </c>
      <c r="I19" s="22">
        <f t="shared" si="0"/>
        <v>6.1080508020000002</v>
      </c>
    </row>
    <row r="20" spans="1:9">
      <c r="A20" s="4">
        <v>16</v>
      </c>
      <c r="B20" s="16" t="str">
        <f>'BOM-DOOR'!B23</f>
        <v>SASH FR RR LWR</v>
      </c>
      <c r="C20" s="3">
        <v>7.86</v>
      </c>
      <c r="D20" s="48">
        <v>302.02</v>
      </c>
      <c r="E20" s="20">
        <v>1</v>
      </c>
      <c r="F20" s="21">
        <v>0.08</v>
      </c>
      <c r="G20" s="21">
        <v>1</v>
      </c>
      <c r="H20" s="10">
        <v>1</v>
      </c>
      <c r="I20" s="22">
        <f t="shared" ref="I20" si="3">C20*(D20*E20)*(F20*G20)*H20</f>
        <v>189.91017600000001</v>
      </c>
    </row>
    <row r="21" spans="1:9">
      <c r="A21" s="4">
        <v>17</v>
      </c>
      <c r="B21" s="16" t="str">
        <f>'BOM-DOOR'!B24</f>
        <v>BRACKET 05
  + M6 WELD NUT
  + M6 BOLT</v>
      </c>
      <c r="C21" s="3">
        <v>7.86</v>
      </c>
      <c r="D21" s="48">
        <v>19.181999999999999</v>
      </c>
      <c r="E21" s="20">
        <v>0.95</v>
      </c>
      <c r="F21" s="21">
        <v>0.1</v>
      </c>
      <c r="G21" s="21">
        <v>0.98</v>
      </c>
      <c r="H21" s="10">
        <v>1</v>
      </c>
      <c r="I21" s="22">
        <f>(C21*(D21*E21)*(F21*G21)*H21)+2.745</f>
        <v>16.781735412</v>
      </c>
    </row>
    <row r="22" spans="1:9" ht="15.75" thickBot="1">
      <c r="A22" s="5">
        <v>18</v>
      </c>
      <c r="B22" s="23" t="str">
        <f>'BOM-DOOR'!B25</f>
        <v>BRACKET 06
  + M6 WELD NUT
  + M6 BOLT</v>
      </c>
      <c r="C22" s="6">
        <v>7.86</v>
      </c>
      <c r="D22" s="59">
        <v>26.675000000000001</v>
      </c>
      <c r="E22" s="24">
        <v>0.95</v>
      </c>
      <c r="F22" s="25">
        <v>0.1</v>
      </c>
      <c r="G22" s="25">
        <v>0.98</v>
      </c>
      <c r="H22" s="11">
        <v>1</v>
      </c>
      <c r="I22" s="26">
        <f>(C22*(D22*E22)*(F22*G22)*H22)+2.745</f>
        <v>22.264858050000001</v>
      </c>
    </row>
    <row r="24" spans="1:9" ht="60" customHeight="1">
      <c r="B24" s="73" t="s">
        <v>46</v>
      </c>
      <c r="C24" s="73"/>
      <c r="D24" s="73"/>
      <c r="E24" s="73"/>
    </row>
  </sheetData>
  <mergeCells count="7">
    <mergeCell ref="B24:E24"/>
    <mergeCell ref="A2:I2"/>
    <mergeCell ref="A3:A4"/>
    <mergeCell ref="B3:B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BOM-DOOR</vt:lpstr>
      <vt:lpstr>WEIGHT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</dc:creator>
  <cp:lastModifiedBy>Kuldeep</cp:lastModifiedBy>
  <dcterms:created xsi:type="dcterms:W3CDTF">2020-08-15T07:16:00Z</dcterms:created>
  <dcterms:modified xsi:type="dcterms:W3CDTF">2020-09-19T14:21:35Z</dcterms:modified>
</cp:coreProperties>
</file>